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Revenue Model" sheetId="3" state="visible" r:id="rId3"/>
    <sheet name="COGS" sheetId="4" state="visible" r:id="rId4"/>
    <sheet name="P&amp;L Summary" sheetId="5" state="visible" r:id="rId5"/>
    <sheet name="12-Month Foreca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"/>
    <numFmt numFmtId="165" formatCode="0.0%"/>
    <numFmt numFmtId="166" formatCode="$0.00"/>
    <numFmt numFmtId="167" formatCode="$0.00000"/>
    <numFmt numFmtId="168" formatCode="$0.000"/>
    <numFmt numFmtId="169" formatCode="$#,##0.00"/>
  </numFmts>
  <fonts count="9">
    <font>
      <name val="Calibri"/>
      <family val="2"/>
      <color theme="1"/>
      <sz val="11"/>
      <scheme val="minor"/>
    </font>
    <font>
      <name val="Calibri"/>
      <b val="1"/>
      <color rgb="00C87965"/>
      <sz val="9"/>
    </font>
    <font>
      <name val="Calibri"/>
      <b val="1"/>
      <color rgb="002D4A3E"/>
      <sz val="18"/>
    </font>
    <font>
      <name val="Calibri"/>
      <i val="1"/>
      <color rgb="006D6A65"/>
      <sz val="9"/>
    </font>
    <font>
      <name val="Calibri"/>
      <b val="1"/>
      <color rgb="00FFFFFF"/>
      <sz val="11"/>
    </font>
    <font>
      <name val="Calibri"/>
      <b val="1"/>
      <color rgb="002D4A3E"/>
      <sz val="12"/>
    </font>
    <font>
      <name val="Calibri"/>
      <color rgb="002B2A29"/>
      <sz val="11"/>
    </font>
    <font>
      <name val="Calibri"/>
      <b val="1"/>
      <color rgb="002B2A29"/>
      <sz val="11"/>
    </font>
    <font>
      <name val="Calibri"/>
      <color rgb="002D4A3E"/>
      <sz val="11"/>
    </font>
  </fonts>
  <fills count="6">
    <fill>
      <patternFill/>
    </fill>
    <fill>
      <patternFill patternType="gray125"/>
    </fill>
    <fill>
      <patternFill patternType="solid">
        <fgColor rgb="002D4A3E"/>
      </patternFill>
    </fill>
    <fill>
      <patternFill patternType="solid">
        <fgColor rgb="00FDF1D6"/>
      </patternFill>
    </fill>
    <fill>
      <patternFill patternType="solid">
        <fgColor rgb="00EAF4EA"/>
      </patternFill>
    </fill>
    <fill>
      <patternFill patternType="solid">
        <fgColor rgb="00F2F7F1"/>
      </patternFill>
    </fill>
  </fills>
  <borders count="2">
    <border>
      <left/>
      <right/>
      <top/>
      <bottom/>
      <diagonal/>
    </border>
    <border>
      <left style="thin">
        <color rgb="00E8E5DF"/>
      </left>
      <right style="thin">
        <color rgb="00E8E5DF"/>
      </right>
      <top style="thin">
        <color rgb="00E8E5DF"/>
      </top>
      <bottom style="thin">
        <color rgb="00E8E5D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/>
    </xf>
    <xf numFmtId="164" fontId="7" fillId="3" borderId="1" applyAlignment="1" pivotButton="0" quotePrefix="0" xfId="0">
      <alignment horizontal="right" vertical="center"/>
    </xf>
    <xf numFmtId="1" fontId="7" fillId="3" borderId="1" applyAlignment="1" pivotButton="0" quotePrefix="0" xfId="0">
      <alignment horizontal="right" vertical="center"/>
    </xf>
    <xf numFmtId="3" fontId="7" fillId="3" borderId="1" applyAlignment="1" pivotButton="0" quotePrefix="0" xfId="0">
      <alignment horizontal="right" vertical="center"/>
    </xf>
    <xf numFmtId="9" fontId="7" fillId="3" borderId="1" applyAlignment="1" pivotButton="0" quotePrefix="0" xfId="0">
      <alignment horizontal="right" vertical="center"/>
    </xf>
    <xf numFmtId="0" fontId="7" fillId="0" borderId="0" pivotButton="0" quotePrefix="0" xfId="0"/>
    <xf numFmtId="3" fontId="8" fillId="4" borderId="1" applyAlignment="1" pivotButton="0" quotePrefix="0" xfId="0">
      <alignment horizontal="right" vertical="center"/>
    </xf>
    <xf numFmtId="165" fontId="7" fillId="3" borderId="1" applyAlignment="1" pivotButton="0" quotePrefix="0" xfId="0">
      <alignment horizontal="right" vertical="center"/>
    </xf>
    <xf numFmtId="166" fontId="7" fillId="3" borderId="1" applyAlignment="1" pivotButton="0" quotePrefix="0" xfId="0">
      <alignment horizontal="right" vertical="center"/>
    </xf>
    <xf numFmtId="167" fontId="7" fillId="3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4" fontId="8" fillId="4" borderId="1" applyAlignment="1" pivotButton="0" quotePrefix="0" xfId="0">
      <alignment horizontal="right" vertical="center"/>
    </xf>
    <xf numFmtId="169" fontId="8" fillId="4" borderId="1" applyAlignment="1" pivotButton="0" quotePrefix="0" xfId="0">
      <alignment horizontal="right" vertical="center"/>
    </xf>
    <xf numFmtId="169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9" fontId="8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TheraVoca FORECAST MODEL</t>
        </is>
      </c>
    </row>
    <row r="2">
      <c r="A2" s="2" t="inlineStr">
        <is>
          <t>How to use this workbook</t>
        </is>
      </c>
    </row>
    <row r="4">
      <c r="A4" s="3" t="inlineStr">
        <is>
          <t>This file models TheraVoca's monthly revenue, COGS, and gross margin across three scenarios:</t>
        </is>
      </c>
    </row>
    <row r="5">
      <c r="A5" s="3" t="inlineStr">
        <is>
          <t xml:space="preserve">  - Today (pre-launch testing)</t>
        </is>
      </c>
    </row>
    <row r="6">
      <c r="A6" s="3" t="inlineStr">
        <is>
          <t xml:space="preserve">  - Soft launch (~100 patient intakes / month)</t>
        </is>
      </c>
    </row>
    <row r="7">
      <c r="A7" s="3" t="inlineStr">
        <is>
          <t xml:space="preserve">  - Growth (~1,000 patient intakes / month)</t>
        </is>
      </c>
    </row>
    <row r="9">
      <c r="A9" s="3" t="inlineStr">
        <is>
          <t>Edit anything in an AMBER cell on the Assumptions tab; every downstream sheet recomputes via formulas.</t>
        </is>
      </c>
    </row>
    <row r="11">
      <c r="A11" s="4" t="inlineStr">
        <is>
          <t>Sheets in this workbook:</t>
        </is>
      </c>
    </row>
    <row r="13">
      <c r="A13" s="3" t="inlineStr">
        <is>
          <t>Assumptions      -- inputs (price, conversion %, intakes, per-unit costs, fixed costs)</t>
        </is>
      </c>
    </row>
    <row r="14">
      <c r="A14" s="3" t="inlineStr">
        <is>
          <t>Revenue Model    -- paying therapist count, gross MRR, Stripe fees, net MRR</t>
        </is>
      </c>
    </row>
    <row r="15">
      <c r="A15" s="3" t="inlineStr">
        <is>
          <t>COGS             -- per-vendor monthly cost broken into variable + fixed</t>
        </is>
      </c>
    </row>
    <row r="16">
      <c r="A16" s="3" t="inlineStr">
        <is>
          <t>P&amp;L Summary      -- revenue, COGS, gross profit, gross margin %, unit economics</t>
        </is>
      </c>
    </row>
    <row r="17">
      <c r="A17" s="3" t="inlineStr">
        <is>
          <t>12-Month Forecast -- month-by-month interpolation from soft-launch to growth</t>
        </is>
      </c>
    </row>
    <row r="19">
      <c r="A19" s="4" t="inlineStr">
        <is>
          <t>What's NOT in this model:</t>
        </is>
      </c>
    </row>
    <row r="20">
      <c r="A20" s="3" t="inlineStr">
        <is>
          <t xml:space="preserve">  - Paid-ads marketing budget (founder budgets separately)</t>
        </is>
      </c>
    </row>
    <row r="21">
      <c r="A21" s="3" t="inlineStr">
        <is>
          <t xml:space="preserve">  - Owner draws, salaries, contractor costs</t>
        </is>
      </c>
    </row>
    <row r="22">
      <c r="A22" s="3" t="inlineStr">
        <is>
          <t xml:space="preserve">  - Taxes</t>
        </is>
      </c>
    </row>
    <row r="23">
      <c r="A23" s="3" t="inlineStr">
        <is>
          <t xml:space="preserve">  - One-time costs (legal, brand registration, etc.)</t>
        </is>
      </c>
    </row>
    <row r="25">
      <c r="A25" s="5" t="inlineStr">
        <is>
          <t>Generated 2026-05-18 by Joshua Rosenthal, TheraVoca.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58" customWidth="1" min="5" max="5"/>
  </cols>
  <sheetData>
    <row r="1">
      <c r="A1" s="1" t="inlineStr">
        <is>
          <t>INPUTS  --  EDIT THE AMBER CELLS</t>
        </is>
      </c>
    </row>
    <row r="2">
      <c r="A2" s="2" t="inlineStr">
        <is>
          <t>TheraVoca Forecast Assumptions</t>
        </is>
      </c>
    </row>
    <row r="3" ht="32" customHeight="1">
      <c r="A3" s="6" t="inlineStr">
        <is>
          <t>Three scenarios across columns B/C/D. Anything amber is editable; every downstream sheet recomputes from these cells. Excludes paid-ads marketing budget per founder request.</t>
        </is>
      </c>
    </row>
    <row r="5" ht="22" customHeight="1">
      <c r="A5" s="7" t="inlineStr">
        <is>
          <t>Assumption</t>
        </is>
      </c>
      <c r="B5" s="7" t="inlineStr">
        <is>
          <t>Today (pre-launch)</t>
        </is>
      </c>
      <c r="C5" s="7" t="inlineStr">
        <is>
          <t>Soft launch</t>
        </is>
      </c>
      <c r="D5" s="7" t="inlineStr">
        <is>
          <t>Growth</t>
        </is>
      </c>
      <c r="E5" s="7" t="inlineStr">
        <is>
          <t>Notes</t>
        </is>
      </c>
    </row>
    <row r="7">
      <c r="A7" s="4" t="inlineStr">
        <is>
          <t>Therapist economics</t>
        </is>
      </c>
    </row>
    <row r="8">
      <c r="A8" s="3" t="inlineStr">
        <is>
          <t>Therapist monthly price ($)</t>
        </is>
      </c>
      <c r="B8" s="8" t="n">
        <v>45</v>
      </c>
      <c r="C8" s="8" t="n">
        <v>45</v>
      </c>
      <c r="D8" s="8" t="n">
        <v>45</v>
      </c>
      <c r="E8" s="6" t="inlineStr">
        <is>
          <t>Live in the codebase as $45/mo after a 30-day free trial.</t>
        </is>
      </c>
    </row>
    <row r="9">
      <c r="A9" s="3" t="inlineStr">
        <is>
          <t>Free-trial length (days)</t>
        </is>
      </c>
      <c r="B9" s="9" t="n">
        <v>30</v>
      </c>
      <c r="C9" s="9" t="n">
        <v>30</v>
      </c>
      <c r="D9" s="9" t="n">
        <v>30</v>
      </c>
      <c r="E9" s="6" t="inlineStr">
        <is>
          <t>Trial is 30 days; therapists in trial don't generate revenue.</t>
        </is>
      </c>
    </row>
    <row r="10">
      <c r="A10" s="3" t="inlineStr">
        <is>
          <t>Active therapists (signed up)</t>
        </is>
      </c>
      <c r="B10" s="10" t="n">
        <v>5</v>
      </c>
      <c r="C10" s="10" t="n">
        <v>50</v>
      </c>
      <c r="D10" s="10" t="n">
        <v>350</v>
      </c>
      <c r="E10" s="6" t="inlineStr">
        <is>
          <t>Total therapists with live profiles. Today = real + a few testers.</t>
        </is>
      </c>
    </row>
    <row r="11">
      <c r="A11" s="3" t="inlineStr">
        <is>
          <t>% in free trial right now</t>
        </is>
      </c>
      <c r="B11" s="11" t="n">
        <v>1</v>
      </c>
      <c r="C11" s="11" t="n">
        <v>0.3</v>
      </c>
      <c r="D11" s="11" t="n">
        <v>0.1</v>
      </c>
      <c r="E11" s="6" t="inlineStr">
        <is>
          <t>Higher early on (everyone's new). Lower at scale (most converted long ago).</t>
        </is>
      </c>
    </row>
    <row r="12">
      <c r="A12" s="3" t="inlineStr">
        <is>
          <t>Trial-to-paid conversion %</t>
        </is>
      </c>
      <c r="B12" s="11" t="n">
        <v>0.55</v>
      </c>
      <c r="C12" s="11" t="n">
        <v>0.6</v>
      </c>
      <c r="D12" s="11" t="n">
        <v>0.65</v>
      </c>
      <c r="E12" s="6" t="inlineStr">
        <is>
          <t>What share of trialing therapists convert to a paid sub. Industry-standard early-product range is 40-70%.</t>
        </is>
      </c>
    </row>
    <row r="13">
      <c r="A13" s="12" t="inlineStr">
        <is>
          <t xml:space="preserve">  -&gt; Paying therapists (computed)</t>
        </is>
      </c>
      <c r="B13" s="13">
        <f>ROUND(B9*(1-B10)+B9*B10*B11,0)</f>
        <v/>
      </c>
      <c r="C13" s="13">
        <f>ROUND(C9*(1-C10)+C9*C10*C11,0)</f>
        <v/>
      </c>
      <c r="D13" s="13">
        <f>ROUND(D9*(1-D10)+D9*D10*D11,0)</f>
        <v/>
      </c>
      <c r="E13" s="6" t="inlineStr">
        <is>
          <t>Therapists outside the trial + the converted share of trialing therapists.</t>
        </is>
      </c>
    </row>
    <row r="15">
      <c r="A15" s="4" t="inlineStr">
        <is>
          <t>Patient demand</t>
        </is>
      </c>
    </row>
    <row r="16">
      <c r="A16" s="3" t="inlineStr">
        <is>
          <t>Patient intakes per month</t>
        </is>
      </c>
      <c r="B16" s="10" t="n">
        <v>5</v>
      </c>
      <c r="C16" s="10" t="n">
        <v>100</v>
      </c>
      <c r="D16" s="10" t="n">
        <v>1000</v>
      </c>
      <c r="E16" s="6" t="inlineStr">
        <is>
          <t>Completed intake submissions. Soft-launch + growth are TheraVoca targets, not industry averages.</t>
        </is>
      </c>
    </row>
    <row r="17">
      <c r="A17" s="3" t="inlineStr">
        <is>
          <t>Therapists matched per intake</t>
        </is>
      </c>
      <c r="B17" s="9" t="n">
        <v>3</v>
      </c>
      <c r="C17" s="9" t="n">
        <v>3</v>
      </c>
      <c r="D17" s="9" t="n">
        <v>3</v>
      </c>
      <c r="E17" s="6" t="inlineStr">
        <is>
          <t>Hard-coded in product today.</t>
        </is>
      </c>
    </row>
    <row r="19">
      <c r="A19" s="4" t="inlineStr">
        <is>
          <t>Per-unit infrastructure costs</t>
        </is>
      </c>
    </row>
    <row r="20">
      <c r="A20" s="3" t="inlineStr">
        <is>
          <t>Stripe % fee (per charge)</t>
        </is>
      </c>
      <c r="B20" s="14" t="n">
        <v>0.029</v>
      </c>
      <c r="C20" s="14" t="n">
        <v>0.029</v>
      </c>
      <c r="D20" s="14" t="n">
        <v>0.029</v>
      </c>
      <c r="E20" s="6" t="inlineStr">
        <is>
          <t>US card processing fee. Same across scenarios.</t>
        </is>
      </c>
    </row>
    <row r="21">
      <c r="A21" s="3" t="inlineStr">
        <is>
          <t>Stripe flat fee per charge ($)</t>
        </is>
      </c>
      <c r="B21" s="15" t="n">
        <v>0.3</v>
      </c>
      <c r="C21" s="15" t="n">
        <v>0.3</v>
      </c>
      <c r="D21" s="15" t="n">
        <v>0.3</v>
      </c>
      <c r="E21" s="6" t="inlineStr">
        <is>
          <t>Same across scenarios.</t>
        </is>
      </c>
    </row>
    <row r="22">
      <c r="A22" s="3" t="inlineStr">
        <is>
          <t>Anthropic Claude / paying therapist / mo</t>
        </is>
      </c>
      <c r="B22" s="15" t="n">
        <v>0.1</v>
      </c>
      <c r="C22" s="15" t="n">
        <v>0.1</v>
      </c>
      <c r="D22" s="15" t="n">
        <v>0.12</v>
      </c>
      <c r="E22" s="6" t="inlineStr">
        <is>
          <t>Research enrichment warmup + occasional bio drafts. Cached 30 days.</t>
        </is>
      </c>
    </row>
    <row r="23">
      <c r="A23" s="3" t="inlineStr">
        <is>
          <t>OpenAI embeddings / intake</t>
        </is>
      </c>
      <c r="B23" s="16" t="n">
        <v>2e-05</v>
      </c>
      <c r="C23" s="16" t="n">
        <v>2e-05</v>
      </c>
      <c r="D23" s="16" t="n">
        <v>2e-05</v>
      </c>
      <c r="E23" s="6" t="inlineStr">
        <is>
          <t>Patient open-text + deep-match vectors. Trivially small at this token rate.</t>
        </is>
      </c>
    </row>
    <row r="24">
      <c r="A24" s="3" t="inlineStr">
        <is>
          <t>Video CDN / intake (proxy)</t>
        </is>
      </c>
      <c r="B24" s="15" t="n">
        <v>0.01</v>
      </c>
      <c r="C24" s="15" t="n">
        <v>0.01</v>
      </c>
      <c r="D24" s="15" t="n">
        <v>0.01</v>
      </c>
      <c r="E24" s="6" t="inlineStr">
        <is>
          <t>Cloudflare Stream delivery cost. Scales with landing-page traffic; intakes are a rough proxy.</t>
        </is>
      </c>
    </row>
    <row r="25">
      <c r="A25" s="3" t="inlineStr">
        <is>
          <t>SMS variable / intake</t>
        </is>
      </c>
      <c r="B25" s="17" t="n">
        <v>0.025</v>
      </c>
      <c r="C25" s="17" t="n">
        <v>0.025</v>
      </c>
      <c r="D25" s="17" t="n">
        <v>0.025</v>
      </c>
      <c r="E25" s="6" t="inlineStr">
        <is>
          <t>~5 SMS per match round (alerts to 3 therapists + 2 patient confirms) at $0.005/SMS US.</t>
        </is>
      </c>
    </row>
    <row r="26">
      <c r="A26" s="3" t="inlineStr">
        <is>
          <t>Email / intake (free tier 0 until 3K/mo)</t>
        </is>
      </c>
      <c r="B26" s="17" t="n">
        <v>0</v>
      </c>
      <c r="C26" s="17" t="n">
        <v>0</v>
      </c>
      <c r="D26" s="17" t="n">
        <v>0.0004</v>
      </c>
      <c r="E26" s="6" t="inlineStr">
        <is>
          <t>Resend is free up to 3K/mo. Growth assumes $20/mo / 50K emails.</t>
        </is>
      </c>
    </row>
    <row r="28">
      <c r="A28" s="4" t="inlineStr">
        <is>
          <t>Fixed costs (don't scale with intakes)</t>
        </is>
      </c>
    </row>
    <row r="29">
      <c r="A29" s="3" t="inlineStr">
        <is>
          <t>Render hosting (web services)</t>
        </is>
      </c>
      <c r="B29" s="8" t="n">
        <v>7</v>
      </c>
      <c r="C29" s="8" t="n">
        <v>14</v>
      </c>
      <c r="D29" s="8" t="n">
        <v>50</v>
      </c>
      <c r="E29" s="6" t="inlineStr">
        <is>
          <t>$7 Starter staging; +$7 prod soft launch; prod upgrades to Standard ($25) at growth.</t>
        </is>
      </c>
    </row>
    <row r="30">
      <c r="A30" s="3" t="inlineStr">
        <is>
          <t>MongoDB Atlas</t>
        </is>
      </c>
      <c r="B30" s="8" t="n">
        <v>0</v>
      </c>
      <c r="C30" s="8" t="n">
        <v>0</v>
      </c>
      <c r="D30" s="8" t="n">
        <v>57</v>
      </c>
      <c r="E30" s="6" t="inlineStr">
        <is>
          <t>M0 free covers today + soft launch. M10 ($57) when storage caps OR when we sign a BAA.</t>
        </is>
      </c>
    </row>
    <row r="31">
      <c r="A31" s="3" t="inlineStr">
        <is>
          <t>Sentry error tracking</t>
        </is>
      </c>
      <c r="B31" s="8" t="n">
        <v>0</v>
      </c>
      <c r="C31" s="8" t="n">
        <v>0</v>
      </c>
      <c r="D31" s="8" t="n">
        <v>26</v>
      </c>
      <c r="E31" s="6" t="inlineStr">
        <is>
          <t>Developer tier free up to 5K errors/mo. Team $26 at growth.</t>
        </is>
      </c>
    </row>
    <row r="32">
      <c r="A32" s="3" t="inlineStr">
        <is>
          <t>Telnyx SMS (fixed: number + brand + campaign)</t>
        </is>
      </c>
      <c r="B32" s="8" t="n">
        <v>5</v>
      </c>
      <c r="C32" s="8" t="n">
        <v>15</v>
      </c>
      <c r="D32" s="8" t="n">
        <v>25</v>
      </c>
      <c r="E32" s="6" t="inlineStr">
        <is>
          <t>Phone number + A2P brand + 10DLC campaign vetting. Higher tier at scale.</t>
        </is>
      </c>
    </row>
    <row r="33">
      <c r="A33" s="3" t="inlineStr">
        <is>
          <t>Resend (email base plan)</t>
        </is>
      </c>
      <c r="B33" s="8" t="n">
        <v>0</v>
      </c>
      <c r="C33" s="8" t="n">
        <v>0</v>
      </c>
      <c r="D33" s="8" t="n">
        <v>20</v>
      </c>
      <c r="E33" s="6" t="inlineStr">
        <is>
          <t>Free up to 3K/mo. $20 for 50K at growth.</t>
        </is>
      </c>
    </row>
    <row r="34">
      <c r="A34" s="3" t="inlineStr">
        <is>
          <t>Domain (theravoca.com amortized)</t>
        </is>
      </c>
      <c r="B34" s="8" t="n">
        <v>1</v>
      </c>
      <c r="C34" s="8" t="n">
        <v>1</v>
      </c>
      <c r="D34" s="8" t="n">
        <v>1</v>
      </c>
      <c r="E34" s="6" t="inlineStr">
        <is>
          <t>~$12/yr.</t>
        </is>
      </c>
    </row>
    <row r="35">
      <c r="A35" s="3" t="inlineStr">
        <is>
          <t>Cloudflare Stream storage</t>
        </is>
      </c>
      <c r="B35" s="8" t="n">
        <v>1</v>
      </c>
      <c r="C35" s="8" t="n">
        <v>1</v>
      </c>
      <c r="D35" s="8" t="n">
        <v>1</v>
      </c>
      <c r="E35" s="6" t="inlineStr">
        <is>
          <t>5 testimonial videos stored. Delivery is variable; covered above per-intake.</t>
        </is>
      </c>
    </row>
    <row r="37">
      <c r="A37" t="inlineStr"/>
    </row>
  </sheetData>
  <mergeCells count="1"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55" customWidth="1" min="5" max="5"/>
  </cols>
  <sheetData>
    <row r="1">
      <c r="A1" s="1" t="inlineStr">
        <is>
          <t>REVENUE</t>
        </is>
      </c>
    </row>
    <row r="2">
      <c r="A2" s="2" t="inlineStr">
        <is>
          <t>Monthly recurring revenue</t>
        </is>
      </c>
    </row>
    <row r="3">
      <c r="A3" s="6" t="inlineStr">
        <is>
          <t>All numbers are formulas referencing the Assumptions sheet. Edit Assumptions to recompute.</t>
        </is>
      </c>
    </row>
    <row r="5">
      <c r="A5" s="7" t="inlineStr">
        <is>
          <t>Line item</t>
        </is>
      </c>
      <c r="B5" s="7" t="inlineStr">
        <is>
          <t>Today</t>
        </is>
      </c>
      <c r="C5" s="7" t="inlineStr">
        <is>
          <t>Soft launch</t>
        </is>
      </c>
      <c r="D5" s="7" t="inlineStr">
        <is>
          <t>Growth</t>
        </is>
      </c>
      <c r="E5" s="7" t="inlineStr">
        <is>
          <t>Notes</t>
        </is>
      </c>
    </row>
    <row r="7">
      <c r="A7" s="3" t="inlineStr">
        <is>
          <t>Paying therapists</t>
        </is>
      </c>
      <c r="B7" s="13">
        <f>Assumptions!B13</f>
        <v/>
      </c>
      <c r="C7" s="13">
        <f>Assumptions!C13</f>
        <v/>
      </c>
      <c r="D7" s="13">
        <f>Assumptions!D13</f>
        <v/>
      </c>
      <c r="E7" s="6" t="inlineStr">
        <is>
          <t>From Assumptions sheet: signed-up * (1 - trial%) + trial * conversion%.</t>
        </is>
      </c>
    </row>
    <row r="8">
      <c r="A8" s="3" t="inlineStr">
        <is>
          <t>Therapist monthly price</t>
        </is>
      </c>
      <c r="B8" s="18">
        <f>Assumptions!B7</f>
        <v/>
      </c>
      <c r="C8" s="18">
        <f>Assumptions!C7</f>
        <v/>
      </c>
      <c r="D8" s="18">
        <f>Assumptions!D7</f>
        <v/>
      </c>
      <c r="E8" s="6" t="inlineStr">
        <is>
          <t>From Assumptions.</t>
        </is>
      </c>
    </row>
    <row r="9">
      <c r="A9" s="12" t="inlineStr">
        <is>
          <t>Gross MRR (therapist subs)</t>
        </is>
      </c>
      <c r="B9" s="18">
        <f>B7*B8</f>
        <v/>
      </c>
      <c r="C9" s="18">
        <f>C7*C8</f>
        <v/>
      </c>
      <c r="D9" s="18">
        <f>D7*D8</f>
        <v/>
      </c>
      <c r="E9" s="6" t="inlineStr">
        <is>
          <t>Paying therapists * monthly price.</t>
        </is>
      </c>
    </row>
    <row r="10">
      <c r="A10" s="3" t="inlineStr">
        <is>
          <t>Stripe fees</t>
        </is>
      </c>
      <c r="B10" s="18">
        <f>B9*Assumptions!B20+B7*Assumptions!B21</f>
        <v/>
      </c>
      <c r="C10" s="18">
        <f>C9*Assumptions!C20+C7*Assumptions!C21</f>
        <v/>
      </c>
      <c r="D10" s="18">
        <f>D9*Assumptions!D20+D7*Assumptions!D21</f>
        <v/>
      </c>
      <c r="E10" s="6" t="inlineStr">
        <is>
          <t>2.9% on gross MRR + $0.30 per charge (one per paying therapist).</t>
        </is>
      </c>
    </row>
    <row r="11">
      <c r="A11" s="12" t="inlineStr">
        <is>
          <t>Net MRR after Stripe</t>
        </is>
      </c>
      <c r="B11" s="18">
        <f>B9-B10</f>
        <v/>
      </c>
      <c r="C11" s="18">
        <f>C9-C10</f>
        <v/>
      </c>
      <c r="D11" s="18">
        <f>D9-D10</f>
        <v/>
      </c>
      <c r="E11" s="6" t="inlineStr">
        <is>
          <t>What lands in the business account each month.</t>
        </is>
      </c>
    </row>
  </sheetData>
  <mergeCells count="1"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55" customWidth="1" min="5" max="5"/>
  </cols>
  <sheetData>
    <row r="1">
      <c r="A1" s="1" t="inlineStr">
        <is>
          <t>COGS</t>
        </is>
      </c>
    </row>
    <row r="2">
      <c r="A2" s="2" t="inlineStr">
        <is>
          <t>Monthly infrastructure cost</t>
        </is>
      </c>
    </row>
    <row r="3">
      <c r="A3" s="6" t="inlineStr">
        <is>
          <t>Per-vendor monthly bill. Variable costs scale with intake volume and paying therapists; fixed costs are flat at each scenario tier.</t>
        </is>
      </c>
    </row>
    <row r="5">
      <c r="A5" s="7" t="inlineStr">
        <is>
          <t>Line item</t>
        </is>
      </c>
      <c r="B5" s="7" t="inlineStr">
        <is>
          <t>Today</t>
        </is>
      </c>
      <c r="C5" s="7" t="inlineStr">
        <is>
          <t>Soft launch</t>
        </is>
      </c>
      <c r="D5" s="7" t="inlineStr">
        <is>
          <t>Growth</t>
        </is>
      </c>
      <c r="E5" s="7" t="inlineStr">
        <is>
          <t>Notes</t>
        </is>
      </c>
    </row>
    <row r="7">
      <c r="A7" s="4" t="inlineStr">
        <is>
          <t>Variable</t>
        </is>
      </c>
    </row>
    <row r="8">
      <c r="A8" s="3" t="inlineStr">
        <is>
          <t>Anthropic Claude API</t>
        </is>
      </c>
      <c r="B8" s="19">
        <f>Assumptions!B13*Assumptions!B22</f>
        <v/>
      </c>
      <c r="C8" s="19">
        <f>Assumptions!C13*Assumptions!C22</f>
        <v/>
      </c>
      <c r="D8" s="19">
        <f>Assumptions!D13*Assumptions!D22</f>
        <v/>
      </c>
      <c r="E8" s="6" t="inlineStr">
        <is>
          <t>Paying therapists * Claude $ per therapist per month (Assumptions).</t>
        </is>
      </c>
    </row>
    <row r="9">
      <c r="A9" s="3" t="inlineStr">
        <is>
          <t>OpenAI embeddings</t>
        </is>
      </c>
      <c r="B9" s="19">
        <f>Assumptions!B16*Assumptions!B23</f>
        <v/>
      </c>
      <c r="C9" s="19">
        <f>Assumptions!C16*Assumptions!C23</f>
        <v/>
      </c>
      <c r="D9" s="19">
        <f>Assumptions!D16*Assumptions!D23</f>
        <v/>
      </c>
      <c r="E9" s="6" t="inlineStr">
        <is>
          <t>Intakes * per-intake embedding cost.</t>
        </is>
      </c>
    </row>
    <row r="10">
      <c r="A10" s="3" t="inlineStr">
        <is>
          <t>Cloudflare Stream delivery</t>
        </is>
      </c>
      <c r="B10" s="19">
        <f>Assumptions!B16*Assumptions!B24</f>
        <v/>
      </c>
      <c r="C10" s="19">
        <f>Assumptions!C16*Assumptions!C24</f>
        <v/>
      </c>
      <c r="D10" s="19">
        <f>Assumptions!D16*Assumptions!D24</f>
        <v/>
      </c>
      <c r="E10" s="6" t="inlineStr">
        <is>
          <t>Approximated by intakes (proxy for landing-page traffic).</t>
        </is>
      </c>
    </row>
    <row r="11">
      <c r="A11" s="3" t="inlineStr">
        <is>
          <t>Telnyx SMS (variable)</t>
        </is>
      </c>
      <c r="B11" s="19">
        <f>Assumptions!B16*Assumptions!B25</f>
        <v/>
      </c>
      <c r="C11" s="19">
        <f>Assumptions!C16*Assumptions!C25</f>
        <v/>
      </c>
      <c r="D11" s="19">
        <f>Assumptions!D16*Assumptions!D25</f>
        <v/>
      </c>
      <c r="E11" s="6" t="inlineStr">
        <is>
          <t>Intakes * ~5 SMS each at US carrier rate.</t>
        </is>
      </c>
    </row>
    <row r="12">
      <c r="A12" s="3" t="inlineStr">
        <is>
          <t>Resend email (variable)</t>
        </is>
      </c>
      <c r="B12" s="19">
        <f>Assumptions!B16*Assumptions!B26</f>
        <v/>
      </c>
      <c r="C12" s="19">
        <f>Assumptions!C16*Assumptions!C26</f>
        <v/>
      </c>
      <c r="D12" s="19">
        <f>Assumptions!D16*Assumptions!D26</f>
        <v/>
      </c>
      <c r="E12" s="6" t="inlineStr">
        <is>
          <t>Free under 3K/mo; growth assumes paid plan.</t>
        </is>
      </c>
    </row>
    <row r="13">
      <c r="A13" s="12" t="inlineStr">
        <is>
          <t>Subtotal variable</t>
        </is>
      </c>
      <c r="B13" s="19">
        <f>SUM(B8:B12)</f>
        <v/>
      </c>
      <c r="C13" s="19">
        <f>SUM(C8:C12)</f>
        <v/>
      </c>
      <c r="D13" s="19">
        <f>SUM(D8:D12)</f>
        <v/>
      </c>
    </row>
    <row r="15">
      <c r="A15" s="4" t="inlineStr">
        <is>
          <t>Fixed</t>
        </is>
      </c>
    </row>
    <row r="16">
      <c r="A16" s="3" t="inlineStr">
        <is>
          <t>Render hosting</t>
        </is>
      </c>
      <c r="B16" s="18">
        <f>Assumptions!B29</f>
        <v/>
      </c>
      <c r="C16" s="18">
        <f>Assumptions!C29</f>
        <v/>
      </c>
      <c r="D16" s="18">
        <f>Assumptions!D29</f>
        <v/>
      </c>
    </row>
    <row r="17">
      <c r="A17" s="3" t="inlineStr">
        <is>
          <t>MongoDB Atlas</t>
        </is>
      </c>
      <c r="B17" s="18">
        <f>Assumptions!B30</f>
        <v/>
      </c>
      <c r="C17" s="18">
        <f>Assumptions!C30</f>
        <v/>
      </c>
      <c r="D17" s="18">
        <f>Assumptions!D30</f>
        <v/>
      </c>
    </row>
    <row r="18">
      <c r="A18" s="3" t="inlineStr">
        <is>
          <t>Sentry</t>
        </is>
      </c>
      <c r="B18" s="18">
        <f>Assumptions!B31</f>
        <v/>
      </c>
      <c r="C18" s="18">
        <f>Assumptions!C31</f>
        <v/>
      </c>
      <c r="D18" s="18">
        <f>Assumptions!D31</f>
        <v/>
      </c>
    </row>
    <row r="19">
      <c r="A19" s="3" t="inlineStr">
        <is>
          <t>Telnyx fixed (number + A2P)</t>
        </is>
      </c>
      <c r="B19" s="18">
        <f>Assumptions!B32</f>
        <v/>
      </c>
      <c r="C19" s="18">
        <f>Assumptions!C32</f>
        <v/>
      </c>
      <c r="D19" s="18">
        <f>Assumptions!D32</f>
        <v/>
      </c>
    </row>
    <row r="20">
      <c r="A20" s="3" t="inlineStr">
        <is>
          <t>Resend base</t>
        </is>
      </c>
      <c r="B20" s="18">
        <f>Assumptions!B33</f>
        <v/>
      </c>
      <c r="C20" s="18">
        <f>Assumptions!C33</f>
        <v/>
      </c>
      <c r="D20" s="18">
        <f>Assumptions!D33</f>
        <v/>
      </c>
    </row>
    <row r="21">
      <c r="A21" s="3" t="inlineStr">
        <is>
          <t>Domain</t>
        </is>
      </c>
      <c r="B21" s="18">
        <f>Assumptions!B34</f>
        <v/>
      </c>
      <c r="C21" s="18">
        <f>Assumptions!C34</f>
        <v/>
      </c>
      <c r="D21" s="18">
        <f>Assumptions!D34</f>
        <v/>
      </c>
    </row>
    <row r="22">
      <c r="A22" s="3" t="inlineStr">
        <is>
          <t>Cloudflare Stream storage</t>
        </is>
      </c>
      <c r="B22" s="18">
        <f>Assumptions!B35</f>
        <v/>
      </c>
      <c r="C22" s="18">
        <f>Assumptions!C35</f>
        <v/>
      </c>
      <c r="D22" s="18">
        <f>Assumptions!D35</f>
        <v/>
      </c>
    </row>
    <row r="23">
      <c r="A23" s="12" t="inlineStr">
        <is>
          <t>Subtotal fixed</t>
        </is>
      </c>
      <c r="B23" s="18">
        <f>SUM(B16:B22)</f>
        <v/>
      </c>
      <c r="C23" s="18">
        <f>SUM(C16:C22)</f>
        <v/>
      </c>
      <c r="D23" s="18">
        <f>SUM(D16:D22)</f>
        <v/>
      </c>
    </row>
    <row r="25">
      <c r="A25" s="12" t="inlineStr">
        <is>
          <t>TOTAL monthly infrastructure</t>
        </is>
      </c>
      <c r="B25" s="20">
        <f>B13+B23</f>
        <v/>
      </c>
      <c r="C25" s="20">
        <f>C13+C23</f>
        <v/>
      </c>
      <c r="D25" s="20">
        <f>D13+D23</f>
        <v/>
      </c>
    </row>
  </sheetData>
  <mergeCells count="1"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55" customWidth="1" min="5" max="5"/>
  </cols>
  <sheetData>
    <row r="1">
      <c r="A1" s="1" t="inlineStr">
        <is>
          <t>P&amp;L  --  EXCLUDES PAID-ADS MARKETING</t>
        </is>
      </c>
    </row>
    <row r="2">
      <c r="A2" s="2" t="inlineStr">
        <is>
          <t>Monthly P&amp;L summary</t>
        </is>
      </c>
    </row>
    <row r="3">
      <c r="A3" s="6" t="inlineStr">
        <is>
          <t>Revenue - COGS = Gross profit. Paid-ad spend is intentionally NOT in this model -- the founder budgets that separately based on growth targets.</t>
        </is>
      </c>
    </row>
    <row r="5">
      <c r="A5" s="7" t="inlineStr"/>
      <c r="B5" s="7" t="inlineStr">
        <is>
          <t>Today</t>
        </is>
      </c>
      <c r="C5" s="7" t="inlineStr">
        <is>
          <t>Soft launch</t>
        </is>
      </c>
      <c r="D5" s="7" t="inlineStr">
        <is>
          <t>Growth</t>
        </is>
      </c>
      <c r="E5" s="7" t="inlineStr">
        <is>
          <t>Notes</t>
        </is>
      </c>
    </row>
    <row r="7">
      <c r="A7" s="12" t="inlineStr">
        <is>
          <t>Net MRR (after Stripe)</t>
        </is>
      </c>
      <c r="B7" s="18">
        <f>'Revenue Model'!B11</f>
        <v/>
      </c>
      <c r="C7" s="18">
        <f>'Revenue Model'!C11</f>
        <v/>
      </c>
      <c r="D7" s="18">
        <f>'Revenue Model'!D11</f>
        <v/>
      </c>
      <c r="E7" s="6" t="inlineStr">
        <is>
          <t>From Revenue Model sheet.</t>
        </is>
      </c>
    </row>
    <row r="8">
      <c r="A8" s="3" t="inlineStr">
        <is>
          <t>Infrastructure COGS</t>
        </is>
      </c>
      <c r="B8" s="18">
        <f>COGS!B25</f>
        <v/>
      </c>
      <c r="C8" s="18">
        <f>COGS!C25</f>
        <v/>
      </c>
      <c r="D8" s="18">
        <f>COGS!D25</f>
        <v/>
      </c>
      <c r="E8" s="6" t="inlineStr">
        <is>
          <t>From COGS sheet.</t>
        </is>
      </c>
    </row>
    <row r="9">
      <c r="A9" s="12" t="inlineStr">
        <is>
          <t>Gross profit</t>
        </is>
      </c>
      <c r="B9" s="21">
        <f>B7-B8</f>
        <v/>
      </c>
      <c r="C9" s="21">
        <f>C7-C8</f>
        <v/>
      </c>
      <c r="D9" s="21">
        <f>D7-D8</f>
        <v/>
      </c>
      <c r="E9" s="6" t="inlineStr">
        <is>
          <t>Net MRR - infrastructure COGS.</t>
        </is>
      </c>
    </row>
    <row r="10">
      <c r="A10" s="3" t="inlineStr">
        <is>
          <t>Gross margin %</t>
        </is>
      </c>
      <c r="B10" s="22">
        <f>IF(B7=0,0,B9/B7)</f>
        <v/>
      </c>
      <c r="C10" s="22">
        <f>IF(C7=0,0,C9/C7)</f>
        <v/>
      </c>
      <c r="D10" s="22">
        <f>IF(D7=0,0,D9/D7)</f>
        <v/>
      </c>
      <c r="E10" s="6" t="inlineStr">
        <is>
          <t>Gross profit / net MRR.</t>
        </is>
      </c>
    </row>
    <row r="12">
      <c r="A12" s="4" t="inlineStr">
        <is>
          <t>Unit economics</t>
        </is>
      </c>
    </row>
    <row r="13">
      <c r="A13" s="3" t="inlineStr">
        <is>
          <t>Gross profit per paying therapist</t>
        </is>
      </c>
      <c r="B13" s="19">
        <f>IF('Revenue Model'!B7=0,0,B9/'Revenue Model'!B7)</f>
        <v/>
      </c>
      <c r="C13" s="19">
        <f>IF('Revenue Model'!C7=0,0,C9/'Revenue Model'!C7)</f>
        <v/>
      </c>
      <c r="D13" s="19">
        <f>IF('Revenue Model'!D7=0,0,D9/'Revenue Model'!D7)</f>
        <v/>
      </c>
      <c r="E13" s="6" t="inlineStr">
        <is>
          <t>Gross profit / paying therapists. Useful for sizing CAC budget.</t>
        </is>
      </c>
    </row>
    <row r="14">
      <c r="A14" s="3" t="inlineStr">
        <is>
          <t>COGS per intake</t>
        </is>
      </c>
      <c r="B14" s="19">
        <f>IF(Assumptions!B16=0,0,B8/Assumptions!B16)</f>
        <v/>
      </c>
      <c r="C14" s="19">
        <f>IF(Assumptions!C16=0,0,C8/Assumptions!C16)</f>
        <v/>
      </c>
      <c r="D14" s="19">
        <f>IF(Assumptions!D16=0,0,D8/Assumptions!D16)</f>
        <v/>
      </c>
      <c r="E14" s="6" t="inlineStr">
        <is>
          <t>Total COGS divided by intakes. A patient-acquisition cost ceiling on the platform side.</t>
        </is>
      </c>
    </row>
  </sheetData>
  <mergeCells count="1"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12-MONTH PROJECTION</t>
        </is>
      </c>
    </row>
    <row r="2">
      <c r="A2" s="2" t="inlineStr">
        <is>
          <t>Monthly trajectory from soft-launch to growth</t>
        </is>
      </c>
    </row>
    <row r="3">
      <c r="A3" s="6" t="inlineStr">
        <is>
          <t>Straight-line interpolation from soft-launch month-1 toward growth month-12 across two drivers (paying therapists + intakes per month). Cumulative cash columns assume reinvestment-free P&amp;L (excludes paid-ad spend, owner draws, taxes).</t>
        </is>
      </c>
    </row>
    <row r="5">
      <c r="A5" s="7" t="inlineStr">
        <is>
          <t>Month</t>
        </is>
      </c>
      <c r="B5" s="7" t="inlineStr">
        <is>
          <t>Paying therapists</t>
        </is>
      </c>
      <c r="C5" s="7" t="inlineStr">
        <is>
          <t>Intakes / mo</t>
        </is>
      </c>
      <c r="D5" s="7" t="inlineStr">
        <is>
          <t>Net MRR</t>
        </is>
      </c>
      <c r="E5" s="7" t="inlineStr">
        <is>
          <t>Monthly COGS</t>
        </is>
      </c>
      <c r="F5" s="7" t="inlineStr">
        <is>
          <t>Monthly gross profit</t>
        </is>
      </c>
      <c r="G5" s="7" t="inlineStr">
        <is>
          <t>Cumulative GP</t>
        </is>
      </c>
    </row>
    <row r="7">
      <c r="A7" s="3" t="inlineStr">
        <is>
          <t>M1</t>
        </is>
      </c>
      <c r="B7" s="13">
        <f>ROUND('Revenue Model'!C7+('Revenue Model'!D7-'Revenue Model'!C7)*((1-1)/11),0)</f>
        <v/>
      </c>
      <c r="C7" s="13">
        <f>ROUND(Assumptions!C16+(Assumptions!D16-Assumptions!C16)*((1-1)/11),0)</f>
        <v/>
      </c>
      <c r="D7" s="18">
        <f>B7*Assumptions!D7-(B7*Assumptions!D7*Assumptions!D20+B7*Assumptions!D21)</f>
        <v/>
      </c>
      <c r="E7" s="18">
        <f>B7*Assumptions!D22+C7*(Assumptions!D23+Assumptions!D24+Assumptions!D25+Assumptions!D26)+(Assumptions!C29+Assumptions!C30+Assumptions!C31+Assumptions!C32+Assumptions!C33+Assumptions!C34+Assumptions!C35)+((Assumptions!D29+Assumptions!D30+Assumptions!D31+Assumptions!D32+Assumptions!D33+Assumptions!D34+Assumptions!D35)-(Assumptions!C29+Assumptions!C30+Assumptions!C31+Assumptions!C32+Assumptions!C33+Assumptions!C34+Assumptions!C35))*((1-1)/11)</f>
        <v/>
      </c>
      <c r="F7" s="18">
        <f>D7-E7</f>
        <v/>
      </c>
      <c r="G7" s="18">
        <f>F7</f>
        <v/>
      </c>
    </row>
    <row r="8">
      <c r="A8" s="3" t="inlineStr">
        <is>
          <t>M2</t>
        </is>
      </c>
      <c r="B8" s="13">
        <f>ROUND('Revenue Model'!C7+('Revenue Model'!D7-'Revenue Model'!C7)*((2-1)/11),0)</f>
        <v/>
      </c>
      <c r="C8" s="13">
        <f>ROUND(Assumptions!C16+(Assumptions!D16-Assumptions!C16)*((2-1)/11),0)</f>
        <v/>
      </c>
      <c r="D8" s="18">
        <f>B8*Assumptions!D7-(B8*Assumptions!D7*Assumptions!D20+B8*Assumptions!D21)</f>
        <v/>
      </c>
      <c r="E8" s="18">
        <f>B8*Assumptions!D22+C8*(Assumptions!D23+Assumptions!D24+Assumptions!D25+Assumptions!D26)+(Assumptions!C29+Assumptions!C30+Assumptions!C31+Assumptions!C32+Assumptions!C33+Assumptions!C34+Assumptions!C35)+((Assumptions!D29+Assumptions!D30+Assumptions!D31+Assumptions!D32+Assumptions!D33+Assumptions!D34+Assumptions!D35)-(Assumptions!C29+Assumptions!C30+Assumptions!C31+Assumptions!C32+Assumptions!C33+Assumptions!C34+Assumptions!C35))*((2-1)/11)</f>
        <v/>
      </c>
      <c r="F8" s="18">
        <f>D8-E8</f>
        <v/>
      </c>
      <c r="G8" s="18">
        <f>G7+F8</f>
        <v/>
      </c>
    </row>
    <row r="9">
      <c r="A9" s="3" t="inlineStr">
        <is>
          <t>M3</t>
        </is>
      </c>
      <c r="B9" s="13">
        <f>ROUND('Revenue Model'!C7+('Revenue Model'!D7-'Revenue Model'!C7)*((3-1)/11),0)</f>
        <v/>
      </c>
      <c r="C9" s="13">
        <f>ROUND(Assumptions!C16+(Assumptions!D16-Assumptions!C16)*((3-1)/11),0)</f>
        <v/>
      </c>
      <c r="D9" s="18">
        <f>B9*Assumptions!D7-(B9*Assumptions!D7*Assumptions!D20+B9*Assumptions!D21)</f>
        <v/>
      </c>
      <c r="E9" s="18">
        <f>B9*Assumptions!D22+C9*(Assumptions!D23+Assumptions!D24+Assumptions!D25+Assumptions!D26)+(Assumptions!C29+Assumptions!C30+Assumptions!C31+Assumptions!C32+Assumptions!C33+Assumptions!C34+Assumptions!C35)+((Assumptions!D29+Assumptions!D30+Assumptions!D31+Assumptions!D32+Assumptions!D33+Assumptions!D34+Assumptions!D35)-(Assumptions!C29+Assumptions!C30+Assumptions!C31+Assumptions!C32+Assumptions!C33+Assumptions!C34+Assumptions!C35))*((3-1)/11)</f>
        <v/>
      </c>
      <c r="F9" s="18">
        <f>D9-E9</f>
        <v/>
      </c>
      <c r="G9" s="18">
        <f>G8+F9</f>
        <v/>
      </c>
    </row>
    <row r="10">
      <c r="A10" s="3" t="inlineStr">
        <is>
          <t>M4</t>
        </is>
      </c>
      <c r="B10" s="13">
        <f>ROUND('Revenue Model'!C7+('Revenue Model'!D7-'Revenue Model'!C7)*((4-1)/11),0)</f>
        <v/>
      </c>
      <c r="C10" s="13">
        <f>ROUND(Assumptions!C16+(Assumptions!D16-Assumptions!C16)*((4-1)/11),0)</f>
        <v/>
      </c>
      <c r="D10" s="18">
        <f>B10*Assumptions!D7-(B10*Assumptions!D7*Assumptions!D20+B10*Assumptions!D21)</f>
        <v/>
      </c>
      <c r="E10" s="18">
        <f>B10*Assumptions!D22+C10*(Assumptions!D23+Assumptions!D24+Assumptions!D25+Assumptions!D26)+(Assumptions!C29+Assumptions!C30+Assumptions!C31+Assumptions!C32+Assumptions!C33+Assumptions!C34+Assumptions!C35)+((Assumptions!D29+Assumptions!D30+Assumptions!D31+Assumptions!D32+Assumptions!D33+Assumptions!D34+Assumptions!D35)-(Assumptions!C29+Assumptions!C30+Assumptions!C31+Assumptions!C32+Assumptions!C33+Assumptions!C34+Assumptions!C35))*((4-1)/11)</f>
        <v/>
      </c>
      <c r="F10" s="18">
        <f>D10-E10</f>
        <v/>
      </c>
      <c r="G10" s="18">
        <f>G9+F10</f>
        <v/>
      </c>
    </row>
    <row r="11">
      <c r="A11" s="3" t="inlineStr">
        <is>
          <t>M5</t>
        </is>
      </c>
      <c r="B11" s="13">
        <f>ROUND('Revenue Model'!C7+('Revenue Model'!D7-'Revenue Model'!C7)*((5-1)/11),0)</f>
        <v/>
      </c>
      <c r="C11" s="13">
        <f>ROUND(Assumptions!C16+(Assumptions!D16-Assumptions!C16)*((5-1)/11),0)</f>
        <v/>
      </c>
      <c r="D11" s="18">
        <f>B11*Assumptions!D7-(B11*Assumptions!D7*Assumptions!D20+B11*Assumptions!D21)</f>
        <v/>
      </c>
      <c r="E11" s="18">
        <f>B11*Assumptions!D22+C11*(Assumptions!D23+Assumptions!D24+Assumptions!D25+Assumptions!D26)+(Assumptions!C29+Assumptions!C30+Assumptions!C31+Assumptions!C32+Assumptions!C33+Assumptions!C34+Assumptions!C35)+((Assumptions!D29+Assumptions!D30+Assumptions!D31+Assumptions!D32+Assumptions!D33+Assumptions!D34+Assumptions!D35)-(Assumptions!C29+Assumptions!C30+Assumptions!C31+Assumptions!C32+Assumptions!C33+Assumptions!C34+Assumptions!C35))*((5-1)/11)</f>
        <v/>
      </c>
      <c r="F11" s="18">
        <f>D11-E11</f>
        <v/>
      </c>
      <c r="G11" s="18">
        <f>G10+F11</f>
        <v/>
      </c>
    </row>
    <row r="12">
      <c r="A12" s="3" t="inlineStr">
        <is>
          <t>M6</t>
        </is>
      </c>
      <c r="B12" s="13">
        <f>ROUND('Revenue Model'!C7+('Revenue Model'!D7-'Revenue Model'!C7)*((6-1)/11),0)</f>
        <v/>
      </c>
      <c r="C12" s="13">
        <f>ROUND(Assumptions!C16+(Assumptions!D16-Assumptions!C16)*((6-1)/11),0)</f>
        <v/>
      </c>
      <c r="D12" s="18">
        <f>B12*Assumptions!D7-(B12*Assumptions!D7*Assumptions!D20+B12*Assumptions!D21)</f>
        <v/>
      </c>
      <c r="E12" s="18">
        <f>B12*Assumptions!D22+C12*(Assumptions!D23+Assumptions!D24+Assumptions!D25+Assumptions!D26)+(Assumptions!C29+Assumptions!C30+Assumptions!C31+Assumptions!C32+Assumptions!C33+Assumptions!C34+Assumptions!C35)+((Assumptions!D29+Assumptions!D30+Assumptions!D31+Assumptions!D32+Assumptions!D33+Assumptions!D34+Assumptions!D35)-(Assumptions!C29+Assumptions!C30+Assumptions!C31+Assumptions!C32+Assumptions!C33+Assumptions!C34+Assumptions!C35))*((6-1)/11)</f>
        <v/>
      </c>
      <c r="F12" s="18">
        <f>D12-E12</f>
        <v/>
      </c>
      <c r="G12" s="18">
        <f>G11+F12</f>
        <v/>
      </c>
    </row>
    <row r="13">
      <c r="A13" s="3" t="inlineStr">
        <is>
          <t>M7</t>
        </is>
      </c>
      <c r="B13" s="13">
        <f>ROUND('Revenue Model'!C7+('Revenue Model'!D7-'Revenue Model'!C7)*((7-1)/11),0)</f>
        <v/>
      </c>
      <c r="C13" s="13">
        <f>ROUND(Assumptions!C16+(Assumptions!D16-Assumptions!C16)*((7-1)/11),0)</f>
        <v/>
      </c>
      <c r="D13" s="18">
        <f>B13*Assumptions!D7-(B13*Assumptions!D7*Assumptions!D20+B13*Assumptions!D21)</f>
        <v/>
      </c>
      <c r="E13" s="18">
        <f>B13*Assumptions!D22+C13*(Assumptions!D23+Assumptions!D24+Assumptions!D25+Assumptions!D26)+(Assumptions!C29+Assumptions!C30+Assumptions!C31+Assumptions!C32+Assumptions!C33+Assumptions!C34+Assumptions!C35)+((Assumptions!D29+Assumptions!D30+Assumptions!D31+Assumptions!D32+Assumptions!D33+Assumptions!D34+Assumptions!D35)-(Assumptions!C29+Assumptions!C30+Assumptions!C31+Assumptions!C32+Assumptions!C33+Assumptions!C34+Assumptions!C35))*((7-1)/11)</f>
        <v/>
      </c>
      <c r="F13" s="18">
        <f>D13-E13</f>
        <v/>
      </c>
      <c r="G13" s="18">
        <f>G12+F13</f>
        <v/>
      </c>
    </row>
    <row r="14">
      <c r="A14" s="3" t="inlineStr">
        <is>
          <t>M8</t>
        </is>
      </c>
      <c r="B14" s="13">
        <f>ROUND('Revenue Model'!C7+('Revenue Model'!D7-'Revenue Model'!C7)*((8-1)/11),0)</f>
        <v/>
      </c>
      <c r="C14" s="13">
        <f>ROUND(Assumptions!C16+(Assumptions!D16-Assumptions!C16)*((8-1)/11),0)</f>
        <v/>
      </c>
      <c r="D14" s="18">
        <f>B14*Assumptions!D7-(B14*Assumptions!D7*Assumptions!D20+B14*Assumptions!D21)</f>
        <v/>
      </c>
      <c r="E14" s="18">
        <f>B14*Assumptions!D22+C14*(Assumptions!D23+Assumptions!D24+Assumptions!D25+Assumptions!D26)+(Assumptions!C29+Assumptions!C30+Assumptions!C31+Assumptions!C32+Assumptions!C33+Assumptions!C34+Assumptions!C35)+((Assumptions!D29+Assumptions!D30+Assumptions!D31+Assumptions!D32+Assumptions!D33+Assumptions!D34+Assumptions!D35)-(Assumptions!C29+Assumptions!C30+Assumptions!C31+Assumptions!C32+Assumptions!C33+Assumptions!C34+Assumptions!C35))*((8-1)/11)</f>
        <v/>
      </c>
      <c r="F14" s="18">
        <f>D14-E14</f>
        <v/>
      </c>
      <c r="G14" s="18">
        <f>G13+F14</f>
        <v/>
      </c>
    </row>
    <row r="15">
      <c r="A15" s="3" t="inlineStr">
        <is>
          <t>M9</t>
        </is>
      </c>
      <c r="B15" s="13">
        <f>ROUND('Revenue Model'!C7+('Revenue Model'!D7-'Revenue Model'!C7)*((9-1)/11),0)</f>
        <v/>
      </c>
      <c r="C15" s="13">
        <f>ROUND(Assumptions!C16+(Assumptions!D16-Assumptions!C16)*((9-1)/11),0)</f>
        <v/>
      </c>
      <c r="D15" s="18">
        <f>B15*Assumptions!D7-(B15*Assumptions!D7*Assumptions!D20+B15*Assumptions!D21)</f>
        <v/>
      </c>
      <c r="E15" s="18">
        <f>B15*Assumptions!D22+C15*(Assumptions!D23+Assumptions!D24+Assumptions!D25+Assumptions!D26)+(Assumptions!C29+Assumptions!C30+Assumptions!C31+Assumptions!C32+Assumptions!C33+Assumptions!C34+Assumptions!C35)+((Assumptions!D29+Assumptions!D30+Assumptions!D31+Assumptions!D32+Assumptions!D33+Assumptions!D34+Assumptions!D35)-(Assumptions!C29+Assumptions!C30+Assumptions!C31+Assumptions!C32+Assumptions!C33+Assumptions!C34+Assumptions!C35))*((9-1)/11)</f>
        <v/>
      </c>
      <c r="F15" s="18">
        <f>D15-E15</f>
        <v/>
      </c>
      <c r="G15" s="18">
        <f>G14+F15</f>
        <v/>
      </c>
    </row>
    <row r="16">
      <c r="A16" s="3" t="inlineStr">
        <is>
          <t>M10</t>
        </is>
      </c>
      <c r="B16" s="13">
        <f>ROUND('Revenue Model'!C7+('Revenue Model'!D7-'Revenue Model'!C7)*((10-1)/11),0)</f>
        <v/>
      </c>
      <c r="C16" s="13">
        <f>ROUND(Assumptions!C16+(Assumptions!D16-Assumptions!C16)*((10-1)/11),0)</f>
        <v/>
      </c>
      <c r="D16" s="18">
        <f>B16*Assumptions!D7-(B16*Assumptions!D7*Assumptions!D20+B16*Assumptions!D21)</f>
        <v/>
      </c>
      <c r="E16" s="18">
        <f>B16*Assumptions!D22+C16*(Assumptions!D23+Assumptions!D24+Assumptions!D25+Assumptions!D26)+(Assumptions!C29+Assumptions!C30+Assumptions!C31+Assumptions!C32+Assumptions!C33+Assumptions!C34+Assumptions!C35)+((Assumptions!D29+Assumptions!D30+Assumptions!D31+Assumptions!D32+Assumptions!D33+Assumptions!D34+Assumptions!D35)-(Assumptions!C29+Assumptions!C30+Assumptions!C31+Assumptions!C32+Assumptions!C33+Assumptions!C34+Assumptions!C35))*((10-1)/11)</f>
        <v/>
      </c>
      <c r="F16" s="18">
        <f>D16-E16</f>
        <v/>
      </c>
      <c r="G16" s="18">
        <f>G15+F16</f>
        <v/>
      </c>
    </row>
    <row r="17">
      <c r="A17" s="3" t="inlineStr">
        <is>
          <t>M11</t>
        </is>
      </c>
      <c r="B17" s="13">
        <f>ROUND('Revenue Model'!C7+('Revenue Model'!D7-'Revenue Model'!C7)*((11-1)/11),0)</f>
        <v/>
      </c>
      <c r="C17" s="13">
        <f>ROUND(Assumptions!C16+(Assumptions!D16-Assumptions!C16)*((11-1)/11),0)</f>
        <v/>
      </c>
      <c r="D17" s="18">
        <f>B17*Assumptions!D7-(B17*Assumptions!D7*Assumptions!D20+B17*Assumptions!D21)</f>
        <v/>
      </c>
      <c r="E17" s="18">
        <f>B17*Assumptions!D22+C17*(Assumptions!D23+Assumptions!D24+Assumptions!D25+Assumptions!D26)+(Assumptions!C29+Assumptions!C30+Assumptions!C31+Assumptions!C32+Assumptions!C33+Assumptions!C34+Assumptions!C35)+((Assumptions!D29+Assumptions!D30+Assumptions!D31+Assumptions!D32+Assumptions!D33+Assumptions!D34+Assumptions!D35)-(Assumptions!C29+Assumptions!C30+Assumptions!C31+Assumptions!C32+Assumptions!C33+Assumptions!C34+Assumptions!C35))*((11-1)/11)</f>
        <v/>
      </c>
      <c r="F17" s="18">
        <f>D17-E17</f>
        <v/>
      </c>
      <c r="G17" s="18">
        <f>G16+F17</f>
        <v/>
      </c>
    </row>
    <row r="18">
      <c r="A18" s="3" t="inlineStr">
        <is>
          <t>M12</t>
        </is>
      </c>
      <c r="B18" s="13">
        <f>ROUND('Revenue Model'!C7+('Revenue Model'!D7-'Revenue Model'!C7)*((12-1)/11),0)</f>
        <v/>
      </c>
      <c r="C18" s="13">
        <f>ROUND(Assumptions!C16+(Assumptions!D16-Assumptions!C16)*((12-1)/11),0)</f>
        <v/>
      </c>
      <c r="D18" s="18">
        <f>B18*Assumptions!D7-(B18*Assumptions!D7*Assumptions!D20+B18*Assumptions!D21)</f>
        <v/>
      </c>
      <c r="E18" s="18">
        <f>B18*Assumptions!D22+C18*(Assumptions!D23+Assumptions!D24+Assumptions!D25+Assumptions!D26)+(Assumptions!C29+Assumptions!C30+Assumptions!C31+Assumptions!C32+Assumptions!C33+Assumptions!C34+Assumptions!C35)+((Assumptions!D29+Assumptions!D30+Assumptions!D31+Assumptions!D32+Assumptions!D33+Assumptions!D34+Assumptions!D35)-(Assumptions!C29+Assumptions!C30+Assumptions!C31+Assumptions!C32+Assumptions!C33+Assumptions!C34+Assumptions!C35))*((12-1)/11)</f>
        <v/>
      </c>
      <c r="F18" s="18">
        <f>D18-E18</f>
        <v/>
      </c>
      <c r="G18" s="18">
        <f>G17+F18</f>
        <v/>
      </c>
    </row>
    <row r="19">
      <c r="A19" s="12" t="inlineStr">
        <is>
          <t>Year 1</t>
        </is>
      </c>
      <c r="D19" s="21">
        <f>SUM(D7:D18)</f>
        <v/>
      </c>
      <c r="E19" s="21">
        <f>SUM(E7:E18)</f>
        <v/>
      </c>
      <c r="F19" s="21">
        <f>SUM(F7:F18)</f>
        <v/>
      </c>
      <c r="G19" s="21">
        <f>G18</f>
        <v/>
      </c>
    </row>
  </sheetData>
  <mergeCells count="1">
    <mergeCell ref="A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2026-05-18T15:40:50Z</dcterms:created>
  <dcterms:modified xsi:type="dcterms:W3CDTF">2026-05-18T15:40:50Z</dcterms:modified>
</cp:coreProperties>
</file>